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封面与说明" sheetId="1" state="visible" r:id="rId1"/>
    <sheet xmlns:r="http://schemas.openxmlformats.org/officeDocument/2006/relationships" name="SDR_灰阶与伽马" sheetId="2" state="visible" r:id="rId2"/>
    <sheet xmlns:r="http://schemas.openxmlformats.org/officeDocument/2006/relationships" name="HDR_PQ_EOTF" sheetId="3" state="visible" r:id="rId3"/>
    <sheet xmlns:r="http://schemas.openxmlformats.org/officeDocument/2006/relationships" name="SDR_颜色精度" sheetId="4" state="visible" r:id="rId4"/>
    <sheet xmlns:r="http://schemas.openxmlformats.org/officeDocument/2006/relationships" name="HDR_颜色精度" sheetId="5" state="visible" r:id="rId5"/>
    <sheet xmlns:r="http://schemas.openxmlformats.org/officeDocument/2006/relationships" name="术语索引" sheetId="6" state="visible" r:id="rId6"/>
    <sheet xmlns:r="http://schemas.openxmlformats.org/officeDocument/2006/relationships" name="SDR_亮度对比度" sheetId="7" state="visible" r:id="rId7"/>
    <sheet xmlns:r="http://schemas.openxmlformats.org/officeDocument/2006/relationships" name="SDR_亮度均匀性" sheetId="8" state="visible" r:id="rId8"/>
    <sheet xmlns:r="http://schemas.openxmlformats.org/officeDocument/2006/relationships" name="HDR_亮度黑位对比度" sheetId="9" state="visible" r:id="rId9"/>
    <sheet xmlns:r="http://schemas.openxmlformats.org/officeDocument/2006/relationships" name="像素缺陷与伪影" sheetId="10" state="visible" r:id="rId10"/>
    <sheet xmlns:r="http://schemas.openxmlformats.org/officeDocument/2006/relationships" name="播放与同步检查" sheetId="11" state="visible" r:id="rId11"/>
    <sheet xmlns:r="http://schemas.openxmlformats.org/officeDocument/2006/relationships" name="CTP_总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i val="1"/>
      <color theme="1"/>
      <sz val="9"/>
      <scheme val="minor"/>
    </font>
    <font>
      <b val="1"/>
    </font>
  </fonts>
  <fills count="4">
    <fill>
      <patternFill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00DDDDDD"/>
      </patternFill>
    </fill>
  </fills>
  <borders count="3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SDR 灰阶目标 vs 实测（示例）</a:t>
            </a:r>
          </a:p>
        </rich>
      </tx>
      <overlay val="0"/>
    </title>
    <plotArea>
      <layout/>
      <lineChart>
        <grouping val="standard"/>
        <ser>
          <idx val="0"/>
          <order val="0"/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'SDR_灰阶与伽马'!$B$6:$B$10</f>
            </strRef>
          </cat>
          <val>
            <numRef>
              <f>'SDR_灰阶与伽马'!$C$6:$C$10</f>
              <numCache/>
            </numRef>
          </val>
          <smooth val="0"/>
        </ser>
        <ser>
          <idx val="1"/>
          <order val="1"/>
          <spPr>
            <a:ln xmlns:a="http://schemas.openxmlformats.org/drawingml/2006/main"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'SDR_灰阶与伽马'!$B$6:$B$10</f>
            </strRef>
          </cat>
          <val>
            <numRef>
              <f>'SDR_灰阶与伽马'!$E$6:$E$10</f>
              <numCache/>
            </numRef>
          </val>
          <smooth val="0"/>
        </ser>
        <axId val="1147230484"/>
        <axId val="369333687"/>
      </lineChart>
      <catAx>
        <axId val="114723048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灰阶步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69333687"/>
        <lblOffset val="100"/>
      </catAx>
      <valAx>
        <axId val="36933368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Y (cd/m²)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47230484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HDR PQ 目标 vs 实测（示例）</a:t>
            </a:r>
          </a:p>
        </rich>
      </tx>
      <overlay val="0"/>
    </title>
    <plotArea>
      <layout/>
      <lineChart>
        <grouping val="standard"/>
        <ser>
          <idx val="0"/>
          <order val="0"/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HDR_PQ_EOTF!$A$6:$A$10</f>
            </strRef>
          </cat>
          <val>
            <numRef>
              <f>HDR_PQ_EOTF!$C$6:$C$10</f>
              <numCache/>
            </numRef>
          </val>
          <smooth val="0"/>
        </ser>
        <ser>
          <idx val="1"/>
          <order val="1"/>
          <spPr>
            <a:ln xmlns:a="http://schemas.openxmlformats.org/drawingml/2006/main"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HDR_PQ_EOTF!$A$6:$A$10</f>
            </strRef>
          </cat>
          <val>
            <numRef>
              <f>HDR_PQ_EOTF!$E$6:$E$10</f>
              <numCache/>
            </numRef>
          </val>
          <smooth val="0"/>
        </ser>
        <axId val="1742683086"/>
        <axId val="1315077650"/>
      </lineChart>
      <catAx>
        <axId val="174268308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测试点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15077650"/>
        <lblOffset val="100"/>
      </catAx>
      <valAx>
        <axId val="131507765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Y (cd/m²)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4268308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5391150" cy="2695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5391150" cy="2695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" min="1" max="1"/>
    <col width="100" customWidth="1" style="7" min="2" max="2"/>
    <col width="8.710000000000001" customWidth="1" style="7" min="3" max="26"/>
  </cols>
  <sheetData>
    <row r="1">
      <c r="A1" s="1" t="inlineStr">
        <is>
          <t>测试名称</t>
        </is>
      </c>
      <c r="B1" s="2" t="inlineStr">
        <is>
          <t>DCI / CTP LED 直显 与 投影 显示系统测试（SDR + HDR）</t>
        </is>
      </c>
    </row>
    <row r="2">
      <c r="A2" s="1" t="inlineStr">
        <is>
          <t>测试依据</t>
        </is>
      </c>
      <c r="B2" s="2" t="inlineStr">
        <is>
          <t>本模板用于支持 LED 直视显示或投影系统在 DCI CTP 图像质量测试中的记录与判断，覆盖 SDR（依据 SMPTE 431 系列、DCSS）与 HDR 300 cd/m² 模式（依据 HDR Addendum）的关键项目。</t>
        </is>
      </c>
    </row>
    <row r="3">
      <c r="A3" s="1" t="inlineStr">
        <is>
          <t>测试目的</t>
        </is>
      </c>
      <c r="B3" s="2" t="inlineStr">
        <is>
          <t>验证 LED 直显或投影放映系统是否满足 DCI/CTP 图像质量规范</t>
        </is>
      </c>
    </row>
    <row r="4">
      <c r="A4" s="1" t="inlineStr">
        <is>
          <t>测试环境要求</t>
        </is>
      </c>
      <c r="B4" s="2" t="inlineStr">
        <is>
          <t>• SDR环境光依据 SMPTE RP 431-2 §6.1：Review Room ≤0.01 cd/m²，Theater ≤0.03 cd/m²；
• HDR环境光依据 HDR Addendum §8.3.1：实验室测试反射光应尽量消除，目标 &lt;0.0005 cd/m²；LED直视显示在影院环境测试中也应尽量满足 &lt;0.0005 cd/m² 要求。</t>
        </is>
      </c>
    </row>
    <row r="5">
      <c r="A5" s="1" t="inlineStr">
        <is>
          <t>仪器要求（标准依据）</t>
        </is>
      </c>
      <c r="B5" s="2" t="inlineStr">
        <is>
          <t>SMPTE 431-1 §4.4/§4.5（光度/色度仪精度），DV Addendum A.3/A.4（光谱辐射度计要求）（示例设备：Konica Minolta CS-2000 等满足 431-1 §4.4/4.5 精度要求的分光辐射计；示例品牌为常识性补充，非标准条文。）</t>
        </is>
      </c>
    </row>
    <row r="6">
      <c r="A6" s="1" t="inlineStr">
        <is>
          <t>建议仪器（符合全部标准）</t>
        </is>
      </c>
      <c r="B6" s="2" t="inlineStr">
        <is>
          <t>Konica Minolta CS-2000 / CS-2000A（完全满足 HDR/SDR 所有项目）</t>
        </is>
      </c>
    </row>
    <row r="7">
      <c r="A7" s="1" t="inlineStr">
        <is>
          <t>可替代仪器（满足 SDR）</t>
        </is>
      </c>
      <c r="B7" s="2" t="inlineStr">
        <is>
          <t>CA-410、Klein K-10A（满足 431-1 精度，HDR 使用需光谱校准）</t>
        </is>
      </c>
    </row>
    <row r="8">
      <c r="A8" s="1" t="inlineStr">
        <is>
          <t>仪器适用性说明</t>
        </is>
      </c>
      <c r="B8" s="2" t="inlineStr">
        <is>
          <t>CS-2000 属光谱仪，满足 DV Addendum 全部 HDR 条目；色度计仅能满足 SDR + 部分 HDR 条件。</t>
        </is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10"/>
    <col width="8.710000000000001" customWidth="1" style="7" min="11" max="26"/>
  </cols>
  <sheetData>
    <row r="1">
      <c r="A1" s="3" t="inlineStr">
        <is>
          <t>SDR 灰阶 / 伽马跟踪测试记录</t>
        </is>
      </c>
    </row>
    <row r="2">
      <c r="A2" s="3" t="inlineStr">
        <is>
          <t>依据 / 关联条款</t>
        </is>
      </c>
      <c r="B2" s="3" t="inlineStr">
        <is>
          <t>CTP</t>
        </is>
      </c>
      <c r="C2" s="3" t="inlineStr">
        <is>
          <t>SMPTE / DCSS</t>
        </is>
      </c>
      <c r="D2" s="3" t="inlineStr">
        <is>
          <t>说明</t>
        </is>
      </c>
      <c r="E2" s="3" t="inlineStr">
        <is>
          <t>备注</t>
        </is>
      </c>
    </row>
    <row r="3">
      <c r="B3" s="3" t="inlineStr">
        <is>
          <t>CTP §7.5（亮度、对比度、灰阶相关条款）</t>
        </is>
      </c>
      <c r="C3" s="3" t="inlineStr">
        <is>
          <t>SMPTE RP 431-2 §7.3, §7.5–7.6；附录 A.2, A.3；SMPTE 431-1 §5.1–5.3</t>
        </is>
      </c>
      <c r="D3" s="3" t="inlineStr">
        <is>
          <t>灰阶与对比度均以反射光测量，需满足 48 cd/m² 及对比度要求。</t>
        </is>
      </c>
    </row>
    <row r="4">
      <c r="A4" s="4" t="inlineStr">
        <is>
          <t>提示：第 6–10 行为示例目标值和示例测量数据，仅用于验证公式和图表逻辑，并非 SMPTE RP 431-2 附录 A.2/A.3 的标准目标值。实际测试时请用标准表替换 C 列目标值。</t>
        </is>
      </c>
    </row>
    <row r="5">
      <c r="A5" s="3" t="inlineStr">
        <is>
          <t>灰阶测量点</t>
        </is>
      </c>
      <c r="B5" s="3" t="inlineStr">
        <is>
          <t>输入代码 / 步号（参考 RP 431-2 A.2/A.3）</t>
        </is>
      </c>
      <c r="C5" s="3" t="inlineStr">
        <is>
          <t>目标亮度 Y (cd/m²)</t>
        </is>
      </c>
      <c r="D5" s="3" t="inlineStr">
        <is>
          <t>允许误差 / 容差</t>
        </is>
      </c>
      <c r="E5" s="3" t="inlineStr">
        <is>
          <t>实测亮度 Y</t>
        </is>
      </c>
      <c r="F5" s="3" t="inlineStr">
        <is>
          <t>误差 %</t>
        </is>
      </c>
      <c r="G5" s="3" t="inlineStr">
        <is>
          <t>伽马 / 曲线判断</t>
        </is>
      </c>
      <c r="H5" s="3" t="inlineStr">
        <is>
          <t>主观观察（是否中性灰、无色偏/带状）</t>
        </is>
      </c>
      <c r="I5" s="3" t="inlineStr">
        <is>
          <t>结论 (Pass/Fail)</t>
        </is>
      </c>
      <c r="J5" s="3" t="inlineStr">
        <is>
          <t>备注</t>
        </is>
      </c>
    </row>
    <row r="6">
      <c r="A6" s="3" t="inlineStr">
        <is>
          <t>Step 1</t>
        </is>
      </c>
      <c r="B6" s="3" t="n">
        <v>64</v>
      </c>
      <c r="C6" s="3" t="n">
        <v>1.2</v>
      </c>
      <c r="E6" s="3" t="n">
        <v>1.18</v>
      </c>
      <c r="F6" s="3">
        <f>IF(AND(C6&gt;0,E6&gt;0),(E6-C6)/C6*100,"")</f>
        <v/>
      </c>
    </row>
    <row r="7">
      <c r="A7" s="3" t="inlineStr">
        <is>
          <t>Step 2</t>
        </is>
      </c>
      <c r="B7" s="3" t="n">
        <v>128</v>
      </c>
      <c r="C7" s="3" t="n">
        <v>3</v>
      </c>
      <c r="E7" s="3" t="n">
        <v>2.9</v>
      </c>
      <c r="F7" s="3">
        <f>IF(AND(C7&gt;0,E7&gt;0),(E7-C7)/C7*100,"")</f>
        <v/>
      </c>
    </row>
    <row r="8">
      <c r="A8" s="3" t="inlineStr">
        <is>
          <t>Step 3</t>
        </is>
      </c>
      <c r="B8" s="3" t="n">
        <v>256</v>
      </c>
      <c r="C8" s="3" t="n">
        <v>7.5</v>
      </c>
      <c r="E8" s="3" t="n">
        <v>7.6</v>
      </c>
      <c r="F8" s="3">
        <f>IF(AND(C8&gt;0,E8&gt;0),(E8-C8)/C8*100,"")</f>
        <v/>
      </c>
    </row>
    <row r="9">
      <c r="A9" s="3" t="inlineStr">
        <is>
          <t>Step 4</t>
        </is>
      </c>
      <c r="B9" s="3" t="n">
        <v>512</v>
      </c>
      <c r="C9" s="3" t="n">
        <v>18</v>
      </c>
      <c r="E9" s="3" t="n">
        <v>18.5</v>
      </c>
      <c r="F9" s="3">
        <f>IF(AND(C9&gt;0,E9&gt;0),(E9-C9)/C9*100,"")</f>
        <v/>
      </c>
    </row>
    <row r="10">
      <c r="A10" s="3" t="inlineStr">
        <is>
          <t>Step 5</t>
        </is>
      </c>
      <c r="B10" s="3" t="n">
        <v>768</v>
      </c>
      <c r="C10" s="3" t="n">
        <v>32</v>
      </c>
      <c r="E10" s="3" t="n">
        <v>31</v>
      </c>
      <c r="F10" s="3">
        <f>IF(AND(C10&gt;0,E10&gt;0),(E10-C10)/C10*100,"")</f>
        <v/>
      </c>
    </row>
    <row r="11">
      <c r="A11" s="3" t="inlineStr">
        <is>
          <t>Step 6</t>
        </is>
      </c>
      <c r="F11" s="3">
        <f>IF(AND(C11&gt;0,E11&gt;0),(E11-C11)/C11*100,"")</f>
        <v/>
      </c>
    </row>
    <row r="12">
      <c r="A12" s="3" t="inlineStr">
        <is>
          <t>Step 7</t>
        </is>
      </c>
      <c r="F12" s="3">
        <f>IF(AND(C12&gt;0,E12&gt;0),(E12-C12)/C12*100,"")</f>
        <v/>
      </c>
    </row>
    <row r="13">
      <c r="A13" s="3" t="inlineStr">
        <is>
          <t>Step 8</t>
        </is>
      </c>
      <c r="F13" s="3">
        <f>IF(AND(C13&gt;0,E13&gt;0),(E13-C13)/C13*100,"")</f>
        <v/>
      </c>
    </row>
    <row r="14">
      <c r="A14" s="3" t="inlineStr">
        <is>
          <t>Step 9</t>
        </is>
      </c>
      <c r="F14" s="3">
        <f>IF(AND(C14&gt;0,E14&gt;0),(E14-C14)/C14*100,"")</f>
        <v/>
      </c>
    </row>
    <row r="15">
      <c r="A15" s="3" t="inlineStr">
        <is>
          <t>Step 10</t>
        </is>
      </c>
      <c r="F15" s="3">
        <f>IF(AND(C15&gt;0,E15&gt;0),(E15-C15)/C15*100,"")</f>
        <v/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8"/>
    <col width="8.710000000000001" customWidth="1" style="7" min="9" max="26"/>
  </cols>
  <sheetData>
    <row r="1">
      <c r="A1" s="3" t="inlineStr">
        <is>
          <t>HDR PQ EOTF 跟踪测试记录</t>
        </is>
      </c>
    </row>
    <row r="2">
      <c r="A2" s="3" t="inlineStr">
        <is>
          <t>依据 / 关联条款</t>
        </is>
      </c>
      <c r="B2" s="3" t="inlineStr">
        <is>
          <t>CTP</t>
        </is>
      </c>
      <c r="C2" s="3" t="inlineStr">
        <is>
          <t>HDR Addendum / SMPTE</t>
        </is>
      </c>
      <c r="D2" s="3" t="inlineStr">
        <is>
          <t>说明</t>
        </is>
      </c>
      <c r="E2" s="3" t="inlineStr">
        <is>
          <t>备注</t>
        </is>
      </c>
    </row>
    <row r="3">
      <c r="B3" s="3" t="inlineStr">
        <is>
          <t>CTP §7.5 HDR 相关条款（EOTF 跟踪）</t>
        </is>
      </c>
      <c r="C3" s="3" t="inlineStr">
        <is>
          <t>HDR Addendum §8.4.6（EOTF）, §8.4.6.2, 表 6, 表 7, 表 8；SMPTE ST 2084</t>
        </is>
      </c>
      <c r="D3" s="3" t="inlineStr">
        <is>
          <t>按表 7/8 中指定的代码值采样，按 ST 2084 解码得到目标亮度，按表 6 容差计算误差。</t>
        </is>
      </c>
      <c r="E3" s="3" t="inlineStr">
        <is>
          <t>表 7/8 的具体代码值及目标亮度需从标准原文查表填写。</t>
        </is>
      </c>
    </row>
    <row r="4">
      <c r="A4" s="4" t="inlineStr">
        <is>
          <t>提示：P1–P5 行为示例目标亮度和示例测量数据，用于验证误差公式和 P/F 判定逻辑。目标亮度和容差百分比并非 HDR Addendum 表 6/7/8 的标准值，实际测试时请用标准表替换 C、D 列数据。</t>
        </is>
      </c>
    </row>
    <row r="5">
      <c r="A5" s="3" t="inlineStr">
        <is>
          <t>测试点编号</t>
        </is>
      </c>
      <c r="B5" s="3" t="inlineStr">
        <is>
          <t>测试图案 / 代码值（参考 HDR Addendum 表 7/8）</t>
        </is>
      </c>
      <c r="C5" s="3" t="inlineStr">
        <is>
          <t>目标亮度 Y (cd/m²)</t>
        </is>
      </c>
      <c r="D5" s="3" t="inlineStr">
        <is>
          <t>容差范围（由表 6 计算）</t>
        </is>
      </c>
      <c r="E5" s="3" t="inlineStr">
        <is>
          <t>实测亮度 Y</t>
        </is>
      </c>
      <c r="F5" s="3" t="inlineStr">
        <is>
          <t>误差 %</t>
        </is>
      </c>
      <c r="G5" s="3" t="inlineStr">
        <is>
          <t>是否在容差内 (Pass/Fail)</t>
        </is>
      </c>
      <c r="H5" s="3" t="inlineStr">
        <is>
          <t>备注</t>
        </is>
      </c>
    </row>
    <row r="6">
      <c r="A6" s="3" t="inlineStr">
        <is>
          <t>P1</t>
        </is>
      </c>
      <c r="C6" s="3" t="n">
        <v>0.01</v>
      </c>
      <c r="D6" s="3" t="n">
        <v>20</v>
      </c>
      <c r="E6" s="3" t="n">
        <v>0.0105</v>
      </c>
      <c r="F6" s="3">
        <f>IF(AND(C6&gt;0,E6&gt;0),(E6-C6)/C6*100,"")</f>
        <v/>
      </c>
      <c r="G6" s="3">
        <f>IF(AND(F6&lt;&gt;"",D6&lt;&gt;"" ,ABS(F6)&lt;=D6),"P",IF(AND(F6&lt;&gt;"",D6&lt;&gt;""),"F",""))</f>
        <v/>
      </c>
    </row>
    <row r="7">
      <c r="A7" s="3" t="inlineStr">
        <is>
          <t>P2</t>
        </is>
      </c>
      <c r="C7" s="3" t="n">
        <v>0.1</v>
      </c>
      <c r="D7" s="3" t="n">
        <v>12</v>
      </c>
      <c r="E7" s="3" t="n">
        <v>0.098</v>
      </c>
      <c r="F7" s="3">
        <f>IF(AND(C7&gt;0,E7&gt;0),(E7-C7)/C7*100,"")</f>
        <v/>
      </c>
      <c r="G7" s="3">
        <f>IF(AND(F7&lt;&gt;"",D7&lt;&gt;"" ,ABS(F7)&lt;=D7),"P",IF(AND(F7&lt;&gt;"",D7&lt;&gt;""),"F",""))</f>
        <v/>
      </c>
    </row>
    <row r="8">
      <c r="A8" s="3" t="inlineStr">
        <is>
          <t>P3</t>
        </is>
      </c>
      <c r="C8" s="3" t="n">
        <v>1</v>
      </c>
      <c r="D8" s="3" t="n">
        <v>12</v>
      </c>
      <c r="E8" s="3" t="n">
        <v>1.05</v>
      </c>
      <c r="F8" s="3">
        <f>IF(AND(C8&gt;0,E8&gt;0),(E8-C8)/C8*100,"")</f>
        <v/>
      </c>
      <c r="G8" s="3">
        <f>IF(AND(F8&lt;&gt;"",D8&lt;&gt;"" ,ABS(F8)&lt;=D8),"P",IF(AND(F8&lt;&gt;"",D8&lt;&gt;""),"F",""))</f>
        <v/>
      </c>
    </row>
    <row r="9">
      <c r="A9" s="3" t="inlineStr">
        <is>
          <t>P4</t>
        </is>
      </c>
      <c r="C9" s="3" t="n">
        <v>10</v>
      </c>
      <c r="D9" s="3" t="n">
        <v>6</v>
      </c>
      <c r="E9" s="3" t="n">
        <v>9.4</v>
      </c>
      <c r="F9" s="3">
        <f>IF(AND(C9&gt;0,E9&gt;0),(E9-C9)/C9*100,"")</f>
        <v/>
      </c>
      <c r="G9" s="3">
        <f>IF(AND(F9&lt;&gt;"",D9&lt;&gt;"" ,ABS(F9)&lt;=D9),"P",IF(AND(F9&lt;&gt;"",D9&lt;&gt;""),"F",""))</f>
        <v/>
      </c>
    </row>
    <row r="10">
      <c r="A10" s="3" t="inlineStr">
        <is>
          <t>P5</t>
        </is>
      </c>
      <c r="C10" s="3" t="n">
        <v>100</v>
      </c>
      <c r="D10" s="3" t="n">
        <v>6</v>
      </c>
      <c r="E10" s="3" t="n">
        <v>103</v>
      </c>
      <c r="F10" s="3">
        <f>IF(AND(C10&gt;0,E10&gt;0),(E10-C10)/C10*100,"")</f>
        <v/>
      </c>
      <c r="G10" s="3">
        <f>IF(AND(F10&lt;&gt;"",D10&lt;&gt;"" ,ABS(F10)&lt;=D10),"P",IF(AND(F10&lt;&gt;"",D10&lt;&gt;""),"F",""))</f>
        <v/>
      </c>
    </row>
    <row r="11">
      <c r="A11" s="3" t="inlineStr">
        <is>
          <t>P6</t>
        </is>
      </c>
      <c r="F11" s="3">
        <f>IF(AND(C11&gt;0,E11&gt;0),(E11-C11)/C11*100,"")</f>
        <v/>
      </c>
      <c r="G11" s="3">
        <f>IF(AND(F11&lt;&gt;"",D11&lt;&gt;"" ,ABS(F11)&lt;=D11),"P",IF(AND(F11&lt;&gt;"",D11&lt;&gt;""),"F",""))</f>
        <v/>
      </c>
    </row>
    <row r="12">
      <c r="A12" s="3" t="inlineStr">
        <is>
          <t>P7</t>
        </is>
      </c>
      <c r="F12" s="3">
        <f>IF(AND(C12&gt;0,E12&gt;0),(E12-C12)/C12*100,"")</f>
        <v/>
      </c>
      <c r="G12" s="3">
        <f>IF(AND(F12&lt;&gt;"",D12&lt;&gt;"" ,ABS(F12)&lt;=D12),"P",IF(AND(F12&lt;&gt;"",D12&lt;&gt;""),"F",""))</f>
        <v/>
      </c>
    </row>
    <row r="13">
      <c r="A13" s="3" t="inlineStr">
        <is>
          <t>P8</t>
        </is>
      </c>
      <c r="F13" s="3">
        <f>IF(AND(C13&gt;0,E13&gt;0),(E13-C13)/C13*100,"")</f>
        <v/>
      </c>
      <c r="G13" s="3">
        <f>IF(AND(F13&lt;&gt;"",D13&lt;&gt;"" ,ABS(F13)&lt;=D13),"P",IF(AND(F13&lt;&gt;"",D13&lt;&gt;""),"F",""))</f>
        <v/>
      </c>
    </row>
    <row r="14">
      <c r="A14" s="3" t="inlineStr">
        <is>
          <t>P9</t>
        </is>
      </c>
      <c r="F14" s="3">
        <f>IF(AND(C14&gt;0,E14&gt;0),(E14-C14)/C14*100,"")</f>
        <v/>
      </c>
      <c r="G14" s="3">
        <f>IF(AND(F14&lt;&gt;"",D14&lt;&gt;"" ,ABS(F14)&lt;=D14),"P",IF(AND(F14&lt;&gt;"",D14&lt;&gt;""),"F",""))</f>
        <v/>
      </c>
    </row>
    <row r="15">
      <c r="A15" s="3" t="inlineStr">
        <is>
          <t>P10</t>
        </is>
      </c>
      <c r="F15" s="3">
        <f>IF(AND(C15&gt;0,E15&gt;0),(E15-C15)/C15*100,"")</f>
        <v/>
      </c>
      <c r="G15" s="3">
        <f>IF(AND(F15&lt;&gt;"",D15&lt;&gt;"" ,ABS(F15)&lt;=D15),"P",IF(AND(F15&lt;&gt;"",D15&lt;&gt;""),"F",""))</f>
        <v/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12"/>
    <col width="8.710000000000001" customWidth="1" style="7" min="13" max="26"/>
  </cols>
  <sheetData>
    <row r="1">
      <c r="A1" s="3" t="inlineStr">
        <is>
          <t>SDR 颜色精度测试记录</t>
        </is>
      </c>
    </row>
    <row r="2">
      <c r="A2" s="3" t="inlineStr">
        <is>
          <t>依据 / 关联条款</t>
        </is>
      </c>
      <c r="B2" s="3" t="inlineStr">
        <is>
          <t>CTP</t>
        </is>
      </c>
      <c r="C2" s="3" t="inlineStr">
        <is>
          <t>SMPTE</t>
        </is>
      </c>
      <c r="D2" s="3" t="inlineStr">
        <is>
          <t>说明</t>
        </is>
      </c>
      <c r="E2" s="3" t="inlineStr">
        <is>
          <t>备注</t>
        </is>
      </c>
    </row>
    <row r="3">
      <c r="B3" s="3" t="inlineStr">
        <is>
          <t>CTP §7.5（颜色精度相关条款）</t>
        </is>
      </c>
      <c r="C3" s="3" t="inlineStr">
        <is>
          <t>SMPTE RP 431-2 §7.4；附录 A.4（Color Accuracy）；SMPTE 431-1 §5.3</t>
        </is>
      </c>
      <c r="D3" s="3" t="inlineStr">
        <is>
          <t>使用 Color Accuracy Series，测量表 A.4 中给出的 Red/Green/Blue/Cyan/Magenta/Yellow 等色块的 x,y,Y，与参考值对比。</t>
        </is>
      </c>
    </row>
    <row r="4">
      <c r="A4" s="4" t="inlineStr">
        <is>
          <t>提示：第 6–11 行色块为示例数据，仅用于验证 Δx/Δy/亮度误差的计算逻辑。目标 x,y,Y 并非 SMPTE RP 431-2 附录 A.4 的标准数值，实际测试请从标准表抄写。</t>
        </is>
      </c>
    </row>
    <row r="5">
      <c r="A5" s="3" t="inlineStr">
        <is>
          <t>色块 ID（例如 Red-1）</t>
        </is>
      </c>
      <c r="B5" s="3" t="inlineStr">
        <is>
          <t>输入代码值 X' Y' Z'（参考 RP 431-2 表 A.4）</t>
        </is>
      </c>
      <c r="C5" s="3" t="inlineStr">
        <is>
          <t>目标 x</t>
        </is>
      </c>
      <c r="D5" s="3" t="inlineStr">
        <is>
          <t>目标 y</t>
        </is>
      </c>
      <c r="E5" s="3" t="inlineStr">
        <is>
          <t>目标 Y (cd/m²)</t>
        </is>
      </c>
      <c r="F5" s="3" t="inlineStr">
        <is>
          <t>实测 x</t>
        </is>
      </c>
      <c r="G5" s="3" t="inlineStr">
        <is>
          <t>实测 y</t>
        </is>
      </c>
      <c r="H5" s="3" t="inlineStr">
        <is>
          <t>实测 Y</t>
        </is>
      </c>
      <c r="I5" s="3" t="inlineStr">
        <is>
          <t>Δx</t>
        </is>
      </c>
      <c r="J5" s="3" t="inlineStr">
        <is>
          <t>Δy</t>
        </is>
      </c>
      <c r="K5" s="3" t="inlineStr">
        <is>
          <t>亮度误差 %</t>
        </is>
      </c>
      <c r="L5" s="3" t="inlineStr">
        <is>
          <t>判定 (Pass/Fail)</t>
        </is>
      </c>
      <c r="M5" s="3" t="inlineStr">
        <is>
          <t>备注</t>
        </is>
      </c>
    </row>
    <row r="6">
      <c r="A6" s="3" t="inlineStr">
        <is>
          <t>Red-1</t>
        </is>
      </c>
      <c r="C6" s="3" t="n">
        <v>0.68</v>
      </c>
      <c r="D6" s="3" t="n">
        <v>0.32</v>
      </c>
      <c r="E6" s="3" t="n">
        <v>10</v>
      </c>
      <c r="F6" s="3" t="n">
        <v>0.681</v>
      </c>
      <c r="G6" s="3" t="n">
        <v>0.319</v>
      </c>
      <c r="H6" s="3" t="n">
        <v>10.3</v>
      </c>
      <c r="I6" s="3">
        <f>IF(AND(C6&lt;&gt;"",F6&lt;&gt;""),F6-C6,"")</f>
        <v/>
      </c>
      <c r="J6" s="3">
        <f>IF(AND(D6&lt;&gt;"",G6&lt;&gt;""),G6-D6,"")</f>
        <v/>
      </c>
      <c r="K6" s="3">
        <f>IF(AND(E6&gt;0,H6&gt;0),(H6-E6)/E6*100,"")</f>
        <v/>
      </c>
    </row>
    <row r="7">
      <c r="A7" s="3" t="inlineStr">
        <is>
          <t>Green-1</t>
        </is>
      </c>
      <c r="C7" s="3" t="n">
        <v>0.265</v>
      </c>
      <c r="D7" s="3" t="n">
        <v>0.6899999999999999</v>
      </c>
      <c r="E7" s="3" t="n">
        <v>10</v>
      </c>
      <c r="F7" s="3" t="n">
        <v>0.266</v>
      </c>
      <c r="G7" s="3" t="n">
        <v>0.6879999999999999</v>
      </c>
      <c r="H7" s="3" t="n">
        <v>9.800000000000001</v>
      </c>
      <c r="I7" s="3">
        <f>IF(AND(C7&lt;&gt;"",F7&lt;&gt;""),F7-C7,"")</f>
        <v/>
      </c>
      <c r="J7" s="3">
        <f>IF(AND(D7&lt;&gt;"",G7&lt;&gt;""),G7-D7,"")</f>
        <v/>
      </c>
      <c r="K7" s="3">
        <f>IF(AND(E7&gt;0,H7&gt;0),(H7-E7)/E7*100,"")</f>
        <v/>
      </c>
    </row>
    <row r="8">
      <c r="A8" s="3" t="inlineStr">
        <is>
          <t>Blue-1</t>
        </is>
      </c>
      <c r="C8" s="3" t="n">
        <v>0.15</v>
      </c>
      <c r="D8" s="3" t="n">
        <v>0.06</v>
      </c>
      <c r="E8" s="3" t="n">
        <v>10</v>
      </c>
      <c r="F8" s="3" t="n">
        <v>0.152</v>
      </c>
      <c r="G8" s="3" t="n">
        <v>0.061</v>
      </c>
      <c r="H8" s="3" t="n">
        <v>10.1</v>
      </c>
      <c r="I8" s="3">
        <f>IF(AND(C8&lt;&gt;"",F8&lt;&gt;""),F8-C8,"")</f>
        <v/>
      </c>
      <c r="J8" s="3">
        <f>IF(AND(D8&lt;&gt;"",G8&lt;&gt;""),G8-D8,"")</f>
        <v/>
      </c>
      <c r="K8" s="3">
        <f>IF(AND(E8&gt;0,H8&gt;0),(H8-E8)/E8*100,"")</f>
        <v/>
      </c>
    </row>
    <row r="9">
      <c r="A9" s="3" t="inlineStr">
        <is>
          <t>Yellow-1</t>
        </is>
      </c>
      <c r="C9" s="3" t="n">
        <v>0.42</v>
      </c>
      <c r="D9" s="3" t="n">
        <v>0.5</v>
      </c>
      <c r="E9" s="3" t="n">
        <v>10</v>
      </c>
      <c r="F9" s="3" t="n">
        <v>0.421</v>
      </c>
      <c r="G9" s="3" t="n">
        <v>0.498</v>
      </c>
      <c r="H9" s="3" t="n">
        <v>9.9</v>
      </c>
      <c r="I9" s="3">
        <f>IF(AND(C9&lt;&gt;"",F9&lt;&gt;""),F9-C9,"")</f>
        <v/>
      </c>
      <c r="J9" s="3">
        <f>IF(AND(D9&lt;&gt;"",G9&lt;&gt;""),G9-D9,"")</f>
        <v/>
      </c>
      <c r="K9" s="3">
        <f>IF(AND(E9&gt;0,H9&gt;0),(H9-E9)/E9*100,"")</f>
        <v/>
      </c>
    </row>
    <row r="10">
      <c r="A10" s="3" t="inlineStr">
        <is>
          <t>Magenta-1</t>
        </is>
      </c>
      <c r="C10" s="3" t="n">
        <v>0.32</v>
      </c>
      <c r="D10" s="3" t="n">
        <v>0.16</v>
      </c>
      <c r="E10" s="3" t="n">
        <v>10</v>
      </c>
      <c r="F10" s="3" t="n">
        <v>0.321</v>
      </c>
      <c r="G10" s="3" t="n">
        <v>0.161</v>
      </c>
      <c r="H10" s="3" t="n">
        <v>10.2</v>
      </c>
      <c r="I10" s="3">
        <f>IF(AND(C10&lt;&gt;"",F10&lt;&gt;""),F10-C10,"")</f>
        <v/>
      </c>
      <c r="J10" s="3">
        <f>IF(AND(D10&lt;&gt;"",G10&lt;&gt;""),G10-D10,"")</f>
        <v/>
      </c>
      <c r="K10" s="3">
        <f>IF(AND(E10&gt;0,H10&gt;0),(H10-E10)/E10*100,"")</f>
        <v/>
      </c>
    </row>
    <row r="11">
      <c r="A11" s="3" t="inlineStr">
        <is>
          <t>Cyan-1</t>
        </is>
      </c>
      <c r="C11" s="3" t="n">
        <v>0.2</v>
      </c>
      <c r="D11" s="3" t="n">
        <v>0.33</v>
      </c>
      <c r="E11" s="3" t="n">
        <v>10</v>
      </c>
      <c r="F11" s="3" t="n">
        <v>0.201</v>
      </c>
      <c r="G11" s="3" t="n">
        <v>0.331</v>
      </c>
      <c r="H11" s="3" t="n">
        <v>9.699999999999999</v>
      </c>
      <c r="I11" s="3">
        <f>IF(AND(C11&lt;&gt;"",F11&lt;&gt;""),F11-C11,"")</f>
        <v/>
      </c>
      <c r="J11" s="3">
        <f>IF(AND(D11&lt;&gt;"",G11&lt;&gt;""),G11-D11,"")</f>
        <v/>
      </c>
      <c r="K11" s="3">
        <f>IF(AND(E11&gt;0,H11&gt;0),(H11-E11)/E11*100,"")</f>
        <v/>
      </c>
    </row>
    <row r="12">
      <c r="A12" s="3" t="inlineStr">
        <is>
          <t>Red-2</t>
        </is>
      </c>
      <c r="I12" s="3">
        <f>IF(AND(C12&lt;&gt;"",F12&lt;&gt;""),F12-C12,"")</f>
        <v/>
      </c>
      <c r="J12" s="3">
        <f>IF(AND(D12&lt;&gt;"",G12&lt;&gt;""),G12-D12,"")</f>
        <v/>
      </c>
      <c r="K12" s="3">
        <f>IF(AND(E12&gt;0,H12&gt;0),(H12-E12)/E12*100,"")</f>
        <v/>
      </c>
    </row>
    <row r="13">
      <c r="A13" s="3" t="inlineStr">
        <is>
          <t>Green-2</t>
        </is>
      </c>
      <c r="I13" s="3">
        <f>IF(AND(C13&lt;&gt;"",F13&lt;&gt;""),F13-C13,"")</f>
        <v/>
      </c>
      <c r="J13" s="3">
        <f>IF(AND(D13&lt;&gt;"",G13&lt;&gt;""),G13-D13,"")</f>
        <v/>
      </c>
      <c r="K13" s="3">
        <f>IF(AND(E13&gt;0,H13&gt;0),(H13-E13)/E13*100,"")</f>
        <v/>
      </c>
    </row>
    <row r="14">
      <c r="A14" s="3" t="inlineStr">
        <is>
          <t>Blue-2</t>
        </is>
      </c>
      <c r="I14" s="3">
        <f>IF(AND(C14&lt;&gt;"",F14&lt;&gt;""),F14-C14,"")</f>
        <v/>
      </c>
      <c r="J14" s="3">
        <f>IF(AND(D14&lt;&gt;"",G14&lt;&gt;""),G14-D14,"")</f>
        <v/>
      </c>
      <c r="K14" s="3">
        <f>IF(AND(E14&gt;0,H14&gt;0),(H14-E14)/E14*100,"")</f>
        <v/>
      </c>
    </row>
    <row r="15">
      <c r="A15" s="3" t="inlineStr">
        <is>
          <t>Cyan-2</t>
        </is>
      </c>
      <c r="I15" s="3">
        <f>IF(AND(C15&lt;&gt;"",F15&lt;&gt;""),F15-C15,"")</f>
        <v/>
      </c>
      <c r="J15" s="3">
        <f>IF(AND(D15&lt;&gt;"",G15&lt;&gt;""),G15-D15,"")</f>
        <v/>
      </c>
      <c r="K15" s="3">
        <f>IF(AND(E15&gt;0,H15&gt;0),(H15-E15)/E15*100,"")</f>
        <v/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12"/>
    <col width="8.710000000000001" customWidth="1" style="7" min="13" max="26"/>
  </cols>
  <sheetData>
    <row r="1">
      <c r="A1" s="3" t="inlineStr">
        <is>
          <t>HDR 颜色精度测试记录</t>
        </is>
      </c>
    </row>
    <row r="2">
      <c r="A2" s="3" t="inlineStr">
        <is>
          <t>依据 / 关联条款</t>
        </is>
      </c>
      <c r="B2" s="3" t="inlineStr">
        <is>
          <t>CTP</t>
        </is>
      </c>
      <c r="C2" s="3" t="inlineStr">
        <is>
          <t>HDR Addendum / SMPTE</t>
        </is>
      </c>
      <c r="D2" s="3" t="inlineStr">
        <is>
          <t>说明</t>
        </is>
      </c>
      <c r="E2" s="3" t="inlineStr">
        <is>
          <t>备注</t>
        </is>
      </c>
    </row>
    <row r="3">
      <c r="B3" s="3" t="inlineStr">
        <is>
          <t>CTP §7.5 HDR 颜色精度相关条款</t>
        </is>
      </c>
      <c r="C3" s="3" t="inlineStr">
        <is>
          <t>HDR Addendum §8.4.5（White Chromaticity）, §8.4.8（Color Accuracy）, 表 6, 表 9；SMPTE ST 2084</t>
        </is>
      </c>
      <c r="D3" s="3" t="inlineStr">
        <is>
          <t>使用 HDR Color Accuracy Series，测量表 9 中给出的色块 x,y,Y，与参考值及表 6 容差对比。</t>
        </is>
      </c>
      <c r="E3" s="3" t="inlineStr">
        <is>
          <t>表 9 的具体代码值和目标 x,y,Y 需从标准原文查表填写。</t>
        </is>
      </c>
    </row>
    <row r="4">
      <c r="A4" s="4" t="inlineStr">
        <is>
          <t>提示：第 6–11 行色块为示例 HDR 数据，仅用于验证 Δx/Δy/亮度误差的计算逻辑。目标 x,y,Y 并非 HDR Addendum 表 9 的标准数值，实际测试请从标准表抄写。</t>
        </is>
      </c>
    </row>
    <row r="5">
      <c r="A5" s="3" t="inlineStr">
        <is>
          <t>色块 ID（例如 White-1, Red-1 等）</t>
        </is>
      </c>
      <c r="B5" s="3" t="inlineStr">
        <is>
          <t>输入代码值 X″ Y″ Z″（参考 HDR Addendum 表 9）</t>
        </is>
      </c>
      <c r="C5" s="3" t="inlineStr">
        <is>
          <t>目标 x</t>
        </is>
      </c>
      <c r="D5" s="3" t="inlineStr">
        <is>
          <t>目标 y</t>
        </is>
      </c>
      <c r="E5" s="3" t="inlineStr">
        <is>
          <t>目标 Y (cd/m²)</t>
        </is>
      </c>
      <c r="F5" s="3" t="inlineStr">
        <is>
          <t>实测 x</t>
        </is>
      </c>
      <c r="G5" s="3" t="inlineStr">
        <is>
          <t>实测 y</t>
        </is>
      </c>
      <c r="H5" s="3" t="inlineStr">
        <is>
          <t>实测 Y</t>
        </is>
      </c>
      <c r="I5" s="3" t="inlineStr">
        <is>
          <t>Δx</t>
        </is>
      </c>
      <c r="J5" s="3" t="inlineStr">
        <is>
          <t>Δy</t>
        </is>
      </c>
      <c r="K5" s="3" t="inlineStr">
        <is>
          <t>亮度误差 %</t>
        </is>
      </c>
      <c r="L5" s="3" t="inlineStr">
        <is>
          <t>判定 (Pass/Fail)</t>
        </is>
      </c>
      <c r="M5" s="3" t="inlineStr">
        <is>
          <t>备注</t>
        </is>
      </c>
    </row>
    <row r="6">
      <c r="A6" s="3" t="inlineStr">
        <is>
          <t>White-1</t>
        </is>
      </c>
      <c r="C6" s="3" t="n">
        <v>0.3127</v>
      </c>
      <c r="D6" s="3" t="n">
        <v>0.329</v>
      </c>
      <c r="E6" s="3" t="n">
        <v>100</v>
      </c>
      <c r="F6" s="3" t="n">
        <v>0.312</v>
      </c>
      <c r="G6" s="3" t="n">
        <v>0.329</v>
      </c>
      <c r="H6" s="3" t="n">
        <v>101</v>
      </c>
      <c r="I6" s="3">
        <f>IF(AND(C6&lt;&gt;"",F6&lt;&gt;""),F6-C6,"")</f>
        <v/>
      </c>
      <c r="J6" s="3">
        <f>IF(AND(D6&lt;&gt;"",G6&lt;&gt;""),G6-D6,"")</f>
        <v/>
      </c>
      <c r="K6" s="3">
        <f>IF(AND(E6&gt;0,H6&gt;0),(H6-E6)/E6*100,"")</f>
        <v/>
      </c>
    </row>
    <row r="7">
      <c r="A7" s="3" t="inlineStr">
        <is>
          <t>Red-1</t>
        </is>
      </c>
      <c r="C7" s="3" t="n">
        <v>0.68</v>
      </c>
      <c r="D7" s="3" t="n">
        <v>0.32</v>
      </c>
      <c r="E7" s="3" t="n">
        <v>80</v>
      </c>
      <c r="F7" s="3" t="n">
        <v>0.679</v>
      </c>
      <c r="G7" s="3" t="n">
        <v>0.321</v>
      </c>
      <c r="H7" s="3" t="n">
        <v>79</v>
      </c>
      <c r="I7" s="3">
        <f>IF(AND(C7&lt;&gt;"",F7&lt;&gt;""),F7-C7,"")</f>
        <v/>
      </c>
      <c r="J7" s="3">
        <f>IF(AND(D7&lt;&gt;"",G7&lt;&gt;""),G7-D7,"")</f>
        <v/>
      </c>
      <c r="K7" s="3">
        <f>IF(AND(E7&gt;0,H7&gt;0),(H7-E7)/E7*100,"")</f>
        <v/>
      </c>
    </row>
    <row r="8">
      <c r="A8" s="3" t="inlineStr">
        <is>
          <t>Green-1</t>
        </is>
      </c>
      <c r="C8" s="3" t="n">
        <v>0.265</v>
      </c>
      <c r="D8" s="3" t="n">
        <v>0.6899999999999999</v>
      </c>
      <c r="E8" s="3" t="n">
        <v>80</v>
      </c>
      <c r="F8" s="3" t="n">
        <v>0.266</v>
      </c>
      <c r="G8" s="3" t="n">
        <v>0.6909999999999999</v>
      </c>
      <c r="H8" s="3" t="n">
        <v>81.5</v>
      </c>
      <c r="I8" s="3">
        <f>IF(AND(C8&lt;&gt;"",F8&lt;&gt;""),F8-C8,"")</f>
        <v/>
      </c>
      <c r="J8" s="3">
        <f>IF(AND(D8&lt;&gt;"",G8&lt;&gt;""),G8-D8,"")</f>
        <v/>
      </c>
      <c r="K8" s="3">
        <f>IF(AND(E8&gt;0,H8&gt;0),(H8-E8)/E8*100,"")</f>
        <v/>
      </c>
    </row>
    <row r="9">
      <c r="A9" s="3" t="inlineStr">
        <is>
          <t>Blue-1</t>
        </is>
      </c>
      <c r="C9" s="3" t="n">
        <v>0.15</v>
      </c>
      <c r="D9" s="3" t="n">
        <v>0.06</v>
      </c>
      <c r="E9" s="3" t="n">
        <v>50</v>
      </c>
      <c r="F9" s="3" t="n">
        <v>0.151</v>
      </c>
      <c r="G9" s="3" t="n">
        <v>0.061</v>
      </c>
      <c r="H9" s="3" t="n">
        <v>49</v>
      </c>
      <c r="I9" s="3">
        <f>IF(AND(C9&lt;&gt;"",F9&lt;&gt;""),F9-C9,"")</f>
        <v/>
      </c>
      <c r="J9" s="3">
        <f>IF(AND(D9&lt;&gt;"",G9&lt;&gt;""),G9-D9,"")</f>
        <v/>
      </c>
      <c r="K9" s="3">
        <f>IF(AND(E9&gt;0,H9&gt;0),(H9-E9)/E9*100,"")</f>
        <v/>
      </c>
    </row>
    <row r="10">
      <c r="A10" s="3" t="inlineStr">
        <is>
          <t>Yellow-1</t>
        </is>
      </c>
      <c r="C10" s="3" t="n">
        <v>0.42</v>
      </c>
      <c r="D10" s="3" t="n">
        <v>0.5</v>
      </c>
      <c r="E10" s="3" t="n">
        <v>90</v>
      </c>
      <c r="F10" s="3" t="n">
        <v>0.421</v>
      </c>
      <c r="G10" s="3" t="n">
        <v>0.499</v>
      </c>
      <c r="H10" s="3" t="n">
        <v>89.5</v>
      </c>
      <c r="I10" s="3">
        <f>IF(AND(C10&lt;&gt;"",F10&lt;&gt;""),F10-C10,"")</f>
        <v/>
      </c>
      <c r="J10" s="3">
        <f>IF(AND(D10&lt;&gt;"",G10&lt;&gt;""),G10-D10,"")</f>
        <v/>
      </c>
      <c r="K10" s="3">
        <f>IF(AND(E10&gt;0,H10&gt;0),(H10-E10)/E10*100,"")</f>
        <v/>
      </c>
    </row>
    <row r="11">
      <c r="A11" s="3" t="inlineStr">
        <is>
          <t>Cyan-1</t>
        </is>
      </c>
      <c r="C11" s="3" t="n">
        <v>0.2</v>
      </c>
      <c r="D11" s="3" t="n">
        <v>0.33</v>
      </c>
      <c r="E11" s="3" t="n">
        <v>70</v>
      </c>
      <c r="F11" s="3" t="n">
        <v>0.199</v>
      </c>
      <c r="G11" s="3" t="n">
        <v>0.331</v>
      </c>
      <c r="H11" s="3" t="n">
        <v>71</v>
      </c>
      <c r="I11" s="3">
        <f>IF(AND(C11&lt;&gt;"",F11&lt;&gt;""),F11-C11,"")</f>
        <v/>
      </c>
      <c r="J11" s="3">
        <f>IF(AND(D11&lt;&gt;"",G11&lt;&gt;""),G11-D11,"")</f>
        <v/>
      </c>
      <c r="K11" s="3">
        <f>IF(AND(E11&gt;0,H11&gt;0),(H11-E11)/E11*100,"")</f>
        <v/>
      </c>
    </row>
    <row r="12">
      <c r="A12" s="3" t="inlineStr">
        <is>
          <t>Patch-7</t>
        </is>
      </c>
      <c r="I12" s="3">
        <f>IF(AND(C12&lt;&gt;"",F12&lt;&gt;""),F12-C12,"")</f>
        <v/>
      </c>
      <c r="J12" s="3">
        <f>IF(AND(D12&lt;&gt;"",G12&lt;&gt;""),G12-D12,"")</f>
        <v/>
      </c>
      <c r="K12" s="3">
        <f>IF(AND(E12&gt;0,H12&gt;0),(H12-E12)/E12*100,"")</f>
        <v/>
      </c>
    </row>
    <row r="13">
      <c r="A13" s="3" t="inlineStr">
        <is>
          <t>Patch-8</t>
        </is>
      </c>
      <c r="I13" s="3">
        <f>IF(AND(C13&lt;&gt;"",F13&lt;&gt;""),F13-C13,"")</f>
        <v/>
      </c>
      <c r="J13" s="3">
        <f>IF(AND(D13&lt;&gt;"",G13&lt;&gt;""),G13-D13,"")</f>
        <v/>
      </c>
      <c r="K13" s="3">
        <f>IF(AND(E13&gt;0,H13&gt;0),(H13-E13)/E13*100,"")</f>
        <v/>
      </c>
    </row>
    <row r="14">
      <c r="A14" s="3" t="inlineStr">
        <is>
          <t>Patch-9</t>
        </is>
      </c>
      <c r="I14" s="3">
        <f>IF(AND(C14&lt;&gt;"",F14&lt;&gt;""),F14-C14,"")</f>
        <v/>
      </c>
      <c r="J14" s="3">
        <f>IF(AND(D14&lt;&gt;"",G14&lt;&gt;""),G14-D14,"")</f>
        <v/>
      </c>
      <c r="K14" s="3">
        <f>IF(AND(E14&gt;0,H14&gt;0),(H14-E14)/E14*100,"")</f>
        <v/>
      </c>
    </row>
    <row r="15">
      <c r="A15" s="3" t="inlineStr">
        <is>
          <t>Patch-10</t>
        </is>
      </c>
      <c r="I15" s="3">
        <f>IF(AND(C15&lt;&gt;"",F15&lt;&gt;""),F15-C15,"")</f>
        <v/>
      </c>
      <c r="J15" s="3">
        <f>IF(AND(D15&lt;&gt;"",G15&lt;&gt;""),G15-D15,"")</f>
        <v/>
      </c>
      <c r="K15" s="3">
        <f>IF(AND(E15&gt;0,H15&gt;0),(H15-E15)/E15*100,"")</f>
        <v/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" min="1" max="26"/>
  </cols>
  <sheetData>
    <row r="1">
      <c r="A1" s="5" t="inlineStr">
        <is>
          <t>术语</t>
        </is>
      </c>
      <c r="B1" s="5" t="inlineStr">
        <is>
          <t>来源标准</t>
        </is>
      </c>
      <c r="C1" s="5" t="inlineStr">
        <is>
          <t>条款/表格编号</t>
        </is>
      </c>
      <c r="D1" s="5" t="inlineStr">
        <is>
          <t>说明</t>
        </is>
      </c>
    </row>
    <row r="2">
      <c r="A2" s="6" t="inlineStr">
        <is>
          <t>Sequential Contrast</t>
        </is>
      </c>
      <c r="B2" s="6" t="inlineStr">
        <is>
          <t>SMPTE RP 431-2</t>
        </is>
      </c>
      <c r="C2" s="6" t="inlineStr">
        <is>
          <t>§7.5</t>
        </is>
      </c>
      <c r="D2" s="6" t="inlineStr">
        <is>
          <t>全白/全黑的亮度比，应≥1200:1。</t>
        </is>
      </c>
    </row>
    <row r="3">
      <c r="A3" s="6" t="inlineStr">
        <is>
          <t>Checkerboard Contrast</t>
        </is>
      </c>
      <c r="B3" s="6" t="inlineStr">
        <is>
          <t>SMPTE RP 431-2</t>
        </is>
      </c>
      <c r="C3" s="6" t="inlineStr">
        <is>
          <t>§7.6</t>
        </is>
      </c>
      <c r="D3" s="6" t="inlineStr">
        <is>
          <t>4×4棋盘格局部对比度，应≥100:1。</t>
        </is>
      </c>
    </row>
    <row r="4">
      <c r="A4" s="6" t="inlineStr">
        <is>
          <t>DCI White Point</t>
        </is>
      </c>
      <c r="B4" s="6" t="inlineStr">
        <is>
          <t>SMPTE 431-1</t>
        </is>
      </c>
      <c r="C4" s="6" t="inlineStr">
        <is>
          <t>§5.3</t>
        </is>
      </c>
      <c r="D4" s="6" t="inlineStr">
        <is>
          <t>白点(0.314, 0.351) ±0.006。</t>
        </is>
      </c>
    </row>
    <row r="5">
      <c r="A5" s="6" t="inlineStr">
        <is>
          <t>Gamma 2.6</t>
        </is>
      </c>
      <c r="B5" s="6" t="inlineStr">
        <is>
          <t>SMPTE RP 431-2</t>
        </is>
      </c>
      <c r="C5" s="6" t="inlineStr">
        <is>
          <t>§7.7</t>
        </is>
      </c>
      <c r="D5" s="6" t="inlineStr">
        <is>
          <t>SDR参考灰阶传递函数。</t>
        </is>
      </c>
    </row>
    <row r="6">
      <c r="A6" s="6" t="inlineStr">
        <is>
          <t>PQ EOTF</t>
        </is>
      </c>
      <c r="B6" s="6" t="inlineStr">
        <is>
          <t>HDR Addendum</t>
        </is>
      </c>
      <c r="C6" s="6" t="inlineStr">
        <is>
          <t>§8.4.6.1 + ST 2084</t>
        </is>
      </c>
      <c r="D6" s="6" t="inlineStr">
        <is>
          <t>HDR使用PQ曲线作为光电转换函数。</t>
        </is>
      </c>
    </row>
    <row r="7">
      <c r="A7" s="6" t="inlineStr">
        <is>
          <t>HDR Peak White</t>
        </is>
      </c>
      <c r="B7" s="6" t="inlineStr">
        <is>
          <t>HDR Addendum</t>
        </is>
      </c>
      <c r="C7" s="6" t="inlineStr">
        <is>
          <t>§8.4.3, Table 6</t>
        </is>
      </c>
      <c r="D7" s="6" t="inlineStr">
        <is>
          <t>影院HDR峰值白亮度约300 cd/m²。</t>
        </is>
      </c>
    </row>
    <row r="8">
      <c r="A8" s="6" t="inlineStr">
        <is>
          <t>HDR Black Level</t>
        </is>
      </c>
      <c r="B8" s="6" t="inlineStr">
        <is>
          <t>HDR Addendum</t>
        </is>
      </c>
      <c r="C8" s="6" t="inlineStr">
        <is>
          <t>§8.4.4, Table 6</t>
        </is>
      </c>
      <c r="D8" s="6" t="inlineStr">
        <is>
          <t>HDR黑位不高于0.005 cd/m²。</t>
        </is>
      </c>
    </row>
    <row r="9">
      <c r="A9" s="6" t="inlineStr">
        <is>
          <t>White Chromaticity Uniformity</t>
        </is>
      </c>
      <c r="B9" s="6" t="inlineStr">
        <is>
          <t>Direct View Addendum</t>
        </is>
      </c>
      <c r="C9" s="6" t="inlineStr">
        <is>
          <t>§6.7</t>
        </is>
      </c>
      <c r="D9" s="6" t="inlineStr">
        <is>
          <t>不同测点的白点xy应在容差范围内。</t>
        </is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style="7" min="1" max="1"/>
    <col width="16" customWidth="1" style="7" min="2" max="2"/>
    <col width="16" customWidth="1" style="7" min="3" max="3"/>
    <col width="16" customWidth="1" style="7" min="4" max="4"/>
    <col width="16" customWidth="1" style="7" min="5" max="5"/>
    <col width="16" customWidth="1" style="7" min="6" max="6"/>
    <col width="16" customWidth="1" style="7" min="7" max="7"/>
    <col width="16" customWidth="1" style="7" min="8" max="8"/>
    <col width="16" customWidth="1" style="7" min="9" max="9"/>
    <col width="16" customWidth="1" style="7" min="10" max="10"/>
  </cols>
  <sheetData>
    <row r="1">
      <c r="A1" s="8" t="inlineStr">
        <is>
          <t>测试项</t>
        </is>
      </c>
      <c r="B1" s="8" t="inlineStr">
        <is>
          <t>描述</t>
        </is>
      </c>
      <c r="C1" s="8" t="inlineStr">
        <is>
          <t>目标值</t>
        </is>
      </c>
      <c r="D1" s="8" t="inlineStr">
        <is>
          <t>下限</t>
        </is>
      </c>
      <c r="E1" s="8" t="inlineStr">
        <is>
          <t>上限</t>
        </is>
      </c>
      <c r="F1" s="8" t="inlineStr">
        <is>
          <t>实测值1</t>
        </is>
      </c>
      <c r="G1" s="8" t="inlineStr">
        <is>
          <t>实测值2</t>
        </is>
      </c>
      <c r="H1" s="8" t="inlineStr">
        <is>
          <t>计算结果</t>
        </is>
      </c>
      <c r="I1" s="8" t="inlineStr">
        <is>
          <t>自动判定(P/F)</t>
        </is>
      </c>
      <c r="J1" s="8" t="inlineStr">
        <is>
          <t>备注</t>
        </is>
      </c>
    </row>
    <row r="2">
      <c r="A2" s="9" t="inlineStr">
        <is>
          <t>中心白场亮度</t>
        </is>
      </c>
      <c r="B2" s="9" t="inlineStr">
        <is>
          <t>中心 100% 白场亮度 (cd/m²)</t>
        </is>
      </c>
      <c r="C2" s="9" t="inlineStr">
        <is>
          <t>48</t>
        </is>
      </c>
      <c r="D2" s="9" t="inlineStr">
        <is>
          <t>37.8</t>
        </is>
      </c>
      <c r="E2" s="9" t="inlineStr">
        <is>
          <t>58.2</t>
        </is>
      </c>
      <c r="F2" s="9" t="inlineStr"/>
      <c r="G2" s="9" t="inlineStr"/>
      <c r="H2" s="9" t="inlineStr"/>
      <c r="I2" s="9" t="inlineStr"/>
      <c r="J2" s="9" t="inlineStr">
        <is>
          <t>目标值来自 SMPTE 431-1 14±3 fL≈48±10.2 cd/m²，请核对原文。</t>
        </is>
      </c>
    </row>
    <row r="3">
      <c r="A3" s="9" t="inlineStr">
        <is>
          <t>黑场亮度</t>
        </is>
      </c>
      <c r="B3" s="9" t="inlineStr">
        <is>
          <t>空白黑场亮度 (cd/m²)</t>
        </is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>
        <is>
          <t>上限值需由 431-2/CTP 原文确认。</t>
        </is>
      </c>
    </row>
    <row r="4">
      <c r="A4" s="9" t="inlineStr">
        <is>
          <t>顺序对比度</t>
        </is>
      </c>
      <c r="B4" s="9" t="inlineStr">
        <is>
          <t>全白 / 全黑 亮度比</t>
        </is>
      </c>
      <c r="C4" s="9" t="inlineStr"/>
      <c r="D4" s="9" t="inlineStr">
        <is>
          <t>1200</t>
        </is>
      </c>
      <c r="E4" s="9" t="inlineStr"/>
      <c r="F4" s="9" t="inlineStr"/>
      <c r="G4" s="9" t="inlineStr"/>
      <c r="H4" s="9">
        <f>IF(AND(F3&gt;0,G3&gt;0),F3/G3,"")</f>
        <v/>
      </c>
      <c r="I4" s="9">
        <f>IF(AND(H3&lt;&gt;"",D3&lt;&gt;""),IF(H3&gt;=D3,"P","F"),"")</f>
        <v/>
      </c>
      <c r="J4" s="9" t="inlineStr">
        <is>
          <t>下限 1200:1 一般参考 RP 431-2 §7.5，请与原文核对。</t>
        </is>
      </c>
    </row>
    <row r="5">
      <c r="A5" s="9" t="inlineStr">
        <is>
          <t>棋盘格对比度</t>
        </is>
      </c>
      <c r="B5" s="9" t="inlineStr">
        <is>
          <t>4×4棋盘格局部对比度</t>
        </is>
      </c>
      <c r="C5" s="9" t="inlineStr"/>
      <c r="D5" s="9" t="inlineStr">
        <is>
          <t>100</t>
        </is>
      </c>
      <c r="E5" s="9" t="inlineStr"/>
      <c r="F5" s="9" t="inlineStr"/>
      <c r="G5" s="9" t="inlineStr"/>
      <c r="H5" s="9">
        <f>IF(AND(F4&gt;0,G4&gt;0),F4/G4,"")</f>
        <v/>
      </c>
      <c r="I5" s="9">
        <f>IF(AND(H4&lt;&gt;"",D4&lt;&gt;""),IF(H4&gt;=D4,"P","F"),"")</f>
        <v/>
      </c>
      <c r="J5" s="9" t="inlineStr">
        <is>
          <t>下限 100:1 一般参考 RP 431-2 §7.6，请与原文核对。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style="7" min="1" max="1"/>
    <col width="14" customWidth="1" style="7" min="2" max="2"/>
    <col width="14" customWidth="1" style="7" min="3" max="3"/>
    <col width="14" customWidth="1" style="7" min="4" max="4"/>
    <col width="14" customWidth="1" style="7" min="5" max="5"/>
    <col width="14" customWidth="1" style="7" min="6" max="6"/>
    <col width="14" customWidth="1" style="7" min="7" max="7"/>
    <col width="14" customWidth="1" style="7" min="8" max="8"/>
  </cols>
  <sheetData>
    <row r="1">
      <c r="A1" s="8" t="inlineStr">
        <is>
          <t>测点编号</t>
        </is>
      </c>
      <c r="B1" s="8" t="inlineStr">
        <is>
          <t>位置说明</t>
        </is>
      </c>
      <c r="C1" s="8" t="inlineStr">
        <is>
          <t>亮度 Y (cd/m²)</t>
        </is>
      </c>
      <c r="D1" s="8" t="inlineStr">
        <is>
          <t>备注</t>
        </is>
      </c>
    </row>
    <row r="2">
      <c r="A2" s="9" t="inlineStr">
        <is>
          <t>P1</t>
        </is>
      </c>
      <c r="B2" s="9" t="inlineStr">
        <is>
          <t>中心</t>
        </is>
      </c>
    </row>
    <row r="3">
      <c r="A3" s="9" t="inlineStr">
        <is>
          <t>P2</t>
        </is>
      </c>
      <c r="B3" s="9" t="inlineStr">
        <is>
          <t>左上</t>
        </is>
      </c>
    </row>
    <row r="4">
      <c r="A4" s="9" t="inlineStr">
        <is>
          <t>P3</t>
        </is>
      </c>
      <c r="B4" s="9" t="inlineStr">
        <is>
          <t>右上</t>
        </is>
      </c>
    </row>
    <row r="5">
      <c r="A5" s="9" t="inlineStr">
        <is>
          <t>P4</t>
        </is>
      </c>
      <c r="B5" s="9" t="inlineStr">
        <is>
          <t>左下</t>
        </is>
      </c>
    </row>
    <row r="6">
      <c r="A6" s="9" t="inlineStr">
        <is>
          <t>P5</t>
        </is>
      </c>
      <c r="B6" s="9" t="inlineStr">
        <is>
          <t>右下</t>
        </is>
      </c>
    </row>
    <row r="8">
      <c r="A8" t="inlineStr">
        <is>
          <t>统计</t>
        </is>
      </c>
      <c r="B8" t="inlineStr">
        <is>
          <t>Min/Max/Avg/均匀性</t>
        </is>
      </c>
      <c r="C8" t="inlineStr"/>
      <c r="E8" t="inlineStr">
        <is>
          <t>Min</t>
        </is>
      </c>
      <c r="F8" t="inlineStr">
        <is>
          <t>Max</t>
        </is>
      </c>
      <c r="G8" t="inlineStr">
        <is>
          <t>Avg</t>
        </is>
      </c>
      <c r="H8" t="inlineStr">
        <is>
          <t>Min/Avg</t>
        </is>
      </c>
    </row>
    <row r="9">
      <c r="E9">
        <f>MIN(C2:C6)</f>
        <v/>
      </c>
      <c r="F9">
        <f>MAX(C2:C6)</f>
        <v/>
      </c>
      <c r="G9">
        <f>AVERAGE(C2:C6)</f>
        <v/>
      </c>
      <c r="H9">
        <f>IF(G9&gt;0,E9/G9,"")</f>
        <v/>
      </c>
    </row>
    <row r="10">
      <c r="A10" t="inlineStr">
        <is>
          <t>判定提示</t>
        </is>
      </c>
      <c r="B10" t="inlineStr">
        <is>
          <t>均匀性目标 (例如 Min/Avg≥0.75 等) 请按 431-1 原文自行填写阈值。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</cols>
  <sheetData>
    <row r="1">
      <c r="A1" s="8" t="inlineStr">
        <is>
          <t>测试项</t>
        </is>
      </c>
      <c r="B1" s="8" t="inlineStr">
        <is>
          <t>描述</t>
        </is>
      </c>
      <c r="C1" s="8" t="inlineStr">
        <is>
          <t>目标值</t>
        </is>
      </c>
      <c r="D1" s="8" t="inlineStr">
        <is>
          <t>容差 / 上限</t>
        </is>
      </c>
      <c r="E1" s="8" t="inlineStr">
        <is>
          <t>实测值</t>
        </is>
      </c>
      <c r="F1" s="8" t="inlineStr">
        <is>
          <t>计算结果</t>
        </is>
      </c>
      <c r="G1" s="8" t="inlineStr">
        <is>
          <t>自动判定(P/F)</t>
        </is>
      </c>
      <c r="H1" s="8" t="inlineStr">
        <is>
          <t>备注</t>
        </is>
      </c>
    </row>
    <row r="2">
      <c r="A2" s="9" t="inlineStr">
        <is>
          <t>HDR 峰值白亮度</t>
        </is>
      </c>
      <c r="B2" s="9" t="inlineStr">
        <is>
          <t>HDR 300 cd/m² 模式峰值白 (cd/m²)</t>
        </is>
      </c>
      <c r="C2" s="9" t="inlineStr">
        <is>
          <t>300</t>
        </is>
      </c>
      <c r="D2" s="9" t="inlineStr">
        <is>
          <t>±10%</t>
        </is>
      </c>
      <c r="E2" s="9" t="inlineStr"/>
      <c r="F2" s="9" t="inlineStr"/>
      <c r="G2" s="9" t="inlineStr"/>
      <c r="H2" s="9" t="inlineStr">
        <is>
          <t>目标参考 HDR Addendum 表 6（例如 300±10%），请与原文核对。</t>
        </is>
      </c>
    </row>
    <row r="3">
      <c r="A3" s="9" t="inlineStr">
        <is>
          <t>HDR 黑位亮度</t>
        </is>
      </c>
      <c r="B3" s="9" t="inlineStr">
        <is>
          <t>HDR 模式黑场亮度 (cd/m²)</t>
        </is>
      </c>
      <c r="C3" s="9" t="inlineStr">
        <is>
          <t>0.005</t>
        </is>
      </c>
      <c r="D3" s="9" t="inlineStr">
        <is>
          <t>≤目标</t>
        </is>
      </c>
      <c r="E3" s="9" t="inlineStr"/>
      <c r="F3" s="9" t="inlineStr"/>
      <c r="G3" s="9" t="inlineStr"/>
      <c r="H3" s="9" t="inlineStr">
        <is>
          <t>黑位参考 HDR Addendum 表 6（例如 ≤0.005 cd/m²），请与原文核对。</t>
        </is>
      </c>
    </row>
    <row r="4">
      <c r="A4" s="9" t="inlineStr">
        <is>
          <t>HDR 顺序对比度</t>
        </is>
      </c>
      <c r="B4" s="9" t="inlineStr">
        <is>
          <t>HDR 全白 / 全黑 亮度比</t>
        </is>
      </c>
      <c r="C4" s="9" t="inlineStr"/>
      <c r="D4" s="9" t="inlineStr"/>
      <c r="E4" s="9" t="inlineStr"/>
      <c r="F4" s="9">
        <f>IF(AND(F1&gt;0,F2&gt;0),F1/F2,"")</f>
        <v/>
      </c>
      <c r="G4" s="9" t="inlineStr"/>
      <c r="H4" s="9" t="inlineStr">
        <is>
          <t>实际比值由峰值白与黑位计算，阈值需由 HDR Addendum/CTP 原文确认。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</cols>
  <sheetData>
    <row r="1">
      <c r="A1" s="8" t="inlineStr">
        <is>
          <t>分类</t>
        </is>
      </c>
      <c r="B1" s="8" t="inlineStr">
        <is>
          <t>描述</t>
        </is>
      </c>
      <c r="C1" s="8" t="inlineStr">
        <is>
          <t>允许上限（按 CTP 条款填）</t>
        </is>
      </c>
      <c r="D1" s="8" t="inlineStr">
        <is>
          <t>实测数量/情况</t>
        </is>
      </c>
      <c r="E1" s="8" t="inlineStr">
        <is>
          <t>自动判定(P/F)</t>
        </is>
      </c>
      <c r="F1" s="8" t="inlineStr">
        <is>
          <t>备注</t>
        </is>
      </c>
    </row>
    <row r="2">
      <c r="A2" s="9" t="inlineStr">
        <is>
          <t>亮点缺陷</t>
        </is>
      </c>
      <c r="B2" s="9" t="inlineStr">
        <is>
          <t>持续亮点像素数量</t>
        </is>
      </c>
      <c r="C2" s="9" t="inlineStr"/>
      <c r="D2" s="9" t="inlineStr"/>
      <c r="E2" s="9" t="inlineStr"/>
      <c r="F2" s="9" t="inlineStr">
        <is>
          <t>阈值需按 CTP 对应条款填写。</t>
        </is>
      </c>
    </row>
    <row r="3">
      <c r="A3" s="9" t="inlineStr">
        <is>
          <t>暗点缺陷</t>
        </is>
      </c>
      <c r="B3" s="9" t="inlineStr">
        <is>
          <t>持续暗点像素数量</t>
        </is>
      </c>
      <c r="C3" s="9" t="inlineStr"/>
      <c r="D3" s="9" t="inlineStr"/>
      <c r="E3" s="9" t="inlineStr"/>
      <c r="F3" s="9" t="inlineStr"/>
    </row>
    <row r="4">
      <c r="A4" s="9" t="inlineStr">
        <is>
          <t>线性缺陷</t>
        </is>
      </c>
      <c r="B4" s="9" t="inlineStr">
        <is>
          <t>整行/整列缺陷</t>
        </is>
      </c>
      <c r="C4" s="9" t="inlineStr"/>
      <c r="D4" s="9" t="inlineStr"/>
      <c r="E4" s="9" t="inlineStr"/>
      <c r="F4" s="9" t="inlineStr"/>
    </row>
    <row r="5">
      <c r="A5" s="9" t="inlineStr">
        <is>
          <t>图像伪影</t>
        </is>
      </c>
      <c r="B5" s="9" t="inlineStr">
        <is>
          <t>噪声、条纹、污点、稳定性问题</t>
        </is>
      </c>
      <c r="C5" s="9" t="inlineStr"/>
      <c r="D5" s="9" t="inlineStr"/>
      <c r="E5" s="9" t="inlineStr"/>
      <c r="F5" s="9" t="inlineStr">
        <is>
          <t>此项多为主观判定。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style="7" min="1" max="1"/>
    <col width="22" customWidth="1" style="7" min="2" max="2"/>
    <col width="22" customWidth="1" style="7" min="3" max="3"/>
    <col width="22" customWidth="1" style="7" min="4" max="4"/>
    <col width="22" customWidth="1" style="7" min="5" max="5"/>
  </cols>
  <sheetData>
    <row r="1">
      <c r="A1" s="8" t="inlineStr">
        <is>
          <t>测试项</t>
        </is>
      </c>
      <c r="B1" s="8" t="inlineStr">
        <is>
          <t>CTP 章节</t>
        </is>
      </c>
      <c r="C1" s="8" t="inlineStr">
        <is>
          <t>描述</t>
        </is>
      </c>
      <c r="D1" s="8" t="inlineStr">
        <is>
          <t>结果(P/F)</t>
        </is>
      </c>
      <c r="E1" s="8" t="inlineStr">
        <is>
          <t>备注</t>
        </is>
      </c>
    </row>
    <row r="2">
      <c r="A2" s="9" t="inlineStr">
        <is>
          <t>DCP 播放完整性</t>
        </is>
      </c>
      <c r="B2" s="9" t="inlineStr">
        <is>
          <t>CTP §7.x</t>
        </is>
      </c>
      <c r="C2" s="9" t="inlineStr">
        <is>
          <t>开卷片头/长片完整播放，无丢帧与中断。</t>
        </is>
      </c>
      <c r="D2" s="9" t="inlineStr"/>
      <c r="E2" s="9" t="inlineStr"/>
    </row>
    <row r="3">
      <c r="A3" s="9" t="inlineStr">
        <is>
          <t>音视频同步</t>
        </is>
      </c>
      <c r="B3" s="9" t="inlineStr">
        <is>
          <t>CTP §7.x</t>
        </is>
      </c>
      <c r="C3" s="9" t="inlineStr">
        <is>
          <t>对白与口型一致，无明显 AV 同步问题。</t>
        </is>
      </c>
      <c r="D3" s="9" t="inlineStr"/>
      <c r="E3" s="9" t="inlineStr"/>
    </row>
    <row r="4">
      <c r="A4" s="9" t="inlineStr">
        <is>
          <t>多声道输出</t>
        </is>
      </c>
      <c r="B4" s="9" t="inlineStr">
        <is>
          <t>CTP §7.x</t>
        </is>
      </c>
      <c r="C4" s="9" t="inlineStr">
        <is>
          <t>各声道输出正确，无交换与缺失。</t>
        </is>
      </c>
      <c r="D4" s="9" t="inlineStr"/>
      <c r="E4" s="9" t="inlineStr"/>
    </row>
    <row r="5">
      <c r="A5" s="9" t="inlineStr">
        <is>
          <t>字幕与附加内容</t>
        </is>
      </c>
      <c r="B5" s="9" t="inlineStr">
        <is>
          <t>CTP §7.x</t>
        </is>
      </c>
      <c r="C5" s="9" t="inlineStr">
        <is>
          <t>字幕内容、位置和时序正确显示。</t>
        </is>
      </c>
      <c r="D5" s="9" t="inlineStr"/>
      <c r="E5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style="7" min="1" max="1"/>
    <col width="22" customWidth="1" style="7" min="2" max="2"/>
    <col width="22" customWidth="1" style="7" min="3" max="3"/>
    <col width="22" customWidth="1" style="7" min="4" max="4"/>
    <col width="22" customWidth="1" style="7" min="5" max="5"/>
    <col width="22" customWidth="1" style="7" min="6" max="6"/>
    <col width="22" customWidth="1" style="7" min="7" max="7"/>
  </cols>
  <sheetData>
    <row r="1">
      <c r="A1" s="8" t="inlineStr">
        <is>
          <t>大类</t>
        </is>
      </c>
      <c r="B1" s="8" t="inlineStr">
        <is>
          <t>CTP 章节</t>
        </is>
      </c>
      <c r="C1" s="8" t="inlineStr">
        <is>
          <t>测试项目</t>
        </is>
      </c>
      <c r="D1" s="8" t="inlineStr">
        <is>
          <t>对应工作表 / 区块</t>
        </is>
      </c>
      <c r="E1" s="8" t="inlineStr">
        <is>
          <t>自动判定</t>
        </is>
      </c>
      <c r="F1" s="8" t="inlineStr">
        <is>
          <t>最终结果(P/F)</t>
        </is>
      </c>
      <c r="G1" s="8" t="inlineStr">
        <is>
          <t>备注</t>
        </is>
      </c>
    </row>
    <row r="2">
      <c r="A2" s="9" t="inlineStr">
        <is>
          <t>SDR 显示性能</t>
        </is>
      </c>
      <c r="B2" s="9" t="inlineStr">
        <is>
          <t>CTP §7.5.x</t>
        </is>
      </c>
      <c r="C2" s="9" t="inlineStr">
        <is>
          <t>中心亮度 / 对比度</t>
        </is>
      </c>
      <c r="D2" s="9" t="inlineStr">
        <is>
          <t>SDR_亮度对比度</t>
        </is>
      </c>
      <c r="E2" s="9" t="inlineStr">
        <is>
          <t>部分自动</t>
        </is>
      </c>
      <c r="F2" s="9" t="inlineStr"/>
      <c r="G2" s="9" t="inlineStr"/>
    </row>
    <row r="3">
      <c r="A3" s="9" t="inlineStr">
        <is>
          <t>SDR 显示性能</t>
        </is>
      </c>
      <c r="B3" s="9" t="inlineStr">
        <is>
          <t>CTP §7.5.x</t>
        </is>
      </c>
      <c r="C3" s="9" t="inlineStr">
        <is>
          <t>亮度均匀性</t>
        </is>
      </c>
      <c r="D3" s="9" t="inlineStr">
        <is>
          <t>SDR_亮度均匀性</t>
        </is>
      </c>
      <c r="E3" s="9" t="inlineStr">
        <is>
          <t>人工判读</t>
        </is>
      </c>
      <c r="F3" s="9" t="inlineStr"/>
      <c r="G3" s="9" t="inlineStr"/>
    </row>
    <row r="4">
      <c r="A4" s="9" t="inlineStr">
        <is>
          <t>SDR 显示性能</t>
        </is>
      </c>
      <c r="B4" s="9" t="inlineStr">
        <is>
          <t>CTP §7.5.26</t>
        </is>
      </c>
      <c r="C4" s="9" t="inlineStr">
        <is>
          <t>色彩准确度 (Color Accuracy)</t>
        </is>
      </c>
      <c r="D4" s="9" t="inlineStr">
        <is>
          <t>SDR_颜色精度</t>
        </is>
      </c>
      <c r="E4" s="9" t="inlineStr">
        <is>
          <t>误差自动，P/F人工</t>
        </is>
      </c>
      <c r="F4" s="9" t="inlineStr"/>
      <c r="G4" s="9" t="inlineStr"/>
    </row>
    <row r="5">
      <c r="A5" s="9" t="inlineStr">
        <is>
          <t>SDR 显示性能</t>
        </is>
      </c>
      <c r="B5" s="9" t="inlineStr">
        <is>
          <t>CTP §7.5.x</t>
        </is>
      </c>
      <c r="C5" s="9" t="inlineStr">
        <is>
          <t>灰阶/伽马跟踪</t>
        </is>
      </c>
      <c r="D5" s="9" t="inlineStr">
        <is>
          <t>SDR_灰阶与伽马</t>
        </is>
      </c>
      <c r="E5" s="9" t="inlineStr">
        <is>
          <t>误差自动，P/F人工</t>
        </is>
      </c>
      <c r="F5" s="9" t="inlineStr"/>
      <c r="G5" s="9" t="inlineStr"/>
    </row>
    <row r="6">
      <c r="A6" s="9" t="inlineStr">
        <is>
          <t>HDR 显示性能</t>
        </is>
      </c>
      <c r="B6" s="9" t="inlineStr">
        <is>
          <t>CTP §26.2.x</t>
        </is>
      </c>
      <c r="C6" s="9" t="inlineStr">
        <is>
          <t>HDR 峰值白 / 黑位 / 对比度</t>
        </is>
      </c>
      <c r="D6" s="9" t="inlineStr">
        <is>
          <t>HDR_亮度黑位对比度</t>
        </is>
      </c>
      <c r="E6" s="9" t="inlineStr">
        <is>
          <t>部分自动</t>
        </is>
      </c>
      <c r="F6" s="9" t="inlineStr"/>
      <c r="G6" s="9" t="inlineStr"/>
    </row>
    <row r="7">
      <c r="A7" s="9" t="inlineStr">
        <is>
          <t>HDR 显示性能</t>
        </is>
      </c>
      <c r="B7" s="9" t="inlineStr">
        <is>
          <t>CTP §26.2.x + HDR Addendum §8.4.6</t>
        </is>
      </c>
      <c r="C7" s="9" t="inlineStr">
        <is>
          <t>HDR PQ EOTF 跟踪</t>
        </is>
      </c>
      <c r="D7" s="9" t="inlineStr">
        <is>
          <t>HDR_PQ_EOTF</t>
        </is>
      </c>
      <c r="E7" s="9" t="inlineStr">
        <is>
          <t>自动误差与 P/F</t>
        </is>
      </c>
      <c r="F7" s="9" t="inlineStr"/>
      <c r="G7" s="9" t="inlineStr"/>
    </row>
    <row r="8">
      <c r="A8" s="9" t="inlineStr">
        <is>
          <t>HDR 显示性能</t>
        </is>
      </c>
      <c r="B8" s="9" t="inlineStr">
        <is>
          <t>CTP §26.2.x + HDR Addendum §8.4.8</t>
        </is>
      </c>
      <c r="C8" s="9" t="inlineStr">
        <is>
          <t>HDR 色彩准确度</t>
        </is>
      </c>
      <c r="D8" s="9" t="inlineStr">
        <is>
          <t>HDR_颜色精度</t>
        </is>
      </c>
      <c r="E8" s="9" t="inlineStr">
        <is>
          <t>误差自动，P/F人工</t>
        </is>
      </c>
      <c r="F8" s="9" t="inlineStr"/>
      <c r="G8" s="9" t="inlineStr"/>
    </row>
    <row r="9">
      <c r="A9" s="9" t="inlineStr">
        <is>
          <t>几何与像素缺陷</t>
        </is>
      </c>
      <c r="B9" s="9" t="inlineStr">
        <is>
          <t>CTP §7.x</t>
        </is>
      </c>
      <c r="C9" s="9" t="inlineStr">
        <is>
          <t>像素缺陷/伪影</t>
        </is>
      </c>
      <c r="D9" s="9" t="inlineStr">
        <is>
          <t>像素缺陷与伪影</t>
        </is>
      </c>
      <c r="E9" s="9" t="inlineStr">
        <is>
          <t>人工判读</t>
        </is>
      </c>
      <c r="F9" s="9" t="inlineStr"/>
      <c r="G9" s="9" t="inlineStr"/>
    </row>
    <row r="10">
      <c r="A10" s="9" t="inlineStr">
        <is>
          <t>系统播放与同步</t>
        </is>
      </c>
      <c r="B10" s="9" t="inlineStr">
        <is>
          <t>CTP §7.x</t>
        </is>
      </c>
      <c r="C10" s="9" t="inlineStr">
        <is>
          <t>播放完整/AV 同步/字幕</t>
        </is>
      </c>
      <c r="D10" s="9" t="inlineStr">
        <is>
          <t>播放与同步检查</t>
        </is>
      </c>
      <c r="E10" s="9" t="inlineStr">
        <is>
          <t>人工判读</t>
        </is>
      </c>
      <c r="F10" s="9" t="inlineStr"/>
      <c r="G1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2025-11-22T04:00:43Z</dcterms:created>
  <dcterms:modified xmlns:dcterms="http://purl.org/dc/terms/" xmlns:xsi="http://www.w3.org/2001/XMLSchema-instance" xsi:type="dcterms:W3CDTF">2025-11-22T04:00:43Z</dcterms:modified>
</cp:coreProperties>
</file>